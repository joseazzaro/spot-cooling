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Soft Projects\spot_cooling\"/>
    </mc:Choice>
  </mc:AlternateContent>
  <xr:revisionPtr revIDLastSave="0" documentId="13_ncr:1_{E7CD09C8-B588-4CFF-846B-76D5B6087E53}" xr6:coauthVersionLast="36" xr6:coauthVersionMax="36" xr10:uidLastSave="{00000000-0000-0000-0000-000000000000}"/>
  <bookViews>
    <workbookView xWindow="0" yWindow="0" windowWidth="23040" windowHeight="8940" xr2:uid="{7DACD9AB-E1CC-47AD-9DCF-70E90530C14B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G23" i="2"/>
  <c r="G22" i="2"/>
  <c r="G12" i="2"/>
  <c r="G14" i="2" s="1"/>
  <c r="G15" i="2" s="1"/>
  <c r="C11" i="2"/>
  <c r="G16" i="2" s="1"/>
  <c r="G13" i="2"/>
  <c r="G9" i="2"/>
  <c r="G8" i="2"/>
  <c r="G7" i="2"/>
  <c r="G3" i="2"/>
  <c r="G6" i="2"/>
  <c r="G5" i="2"/>
  <c r="G19" i="2" l="1"/>
  <c r="G17" i="2"/>
  <c r="G18" i="2" s="1"/>
</calcChain>
</file>

<file path=xl/sharedStrings.xml><?xml version="1.0" encoding="utf-8"?>
<sst xmlns="http://schemas.openxmlformats.org/spreadsheetml/2006/main" count="211" uniqueCount="63">
  <si>
    <t>Ta</t>
  </si>
  <si>
    <t>°C</t>
  </si>
  <si>
    <t>rha</t>
  </si>
  <si>
    <t>%</t>
  </si>
  <si>
    <t>Tmr</t>
  </si>
  <si>
    <t>Pa</t>
  </si>
  <si>
    <t>mm Hg</t>
  </si>
  <si>
    <t>Icl</t>
  </si>
  <si>
    <t>M</t>
  </si>
  <si>
    <t>W/m2</t>
  </si>
  <si>
    <t>Rt</t>
  </si>
  <si>
    <t>Datos iniciales</t>
  </si>
  <si>
    <t>Vj (m/s)</t>
  </si>
  <si>
    <t>m</t>
  </si>
  <si>
    <t>m (mm Hg/°C)</t>
  </si>
  <si>
    <t>C (mm Hg)</t>
  </si>
  <si>
    <t>rh0</t>
  </si>
  <si>
    <t>T0 (°C)</t>
  </si>
  <si>
    <t>Tj (°C)</t>
  </si>
  <si>
    <t>Pj (mm Hg)</t>
  </si>
  <si>
    <t>Tabla 1 - Valores m y C computados</t>
  </si>
  <si>
    <t>Tabla 2 - Vj = 2 m/s</t>
  </si>
  <si>
    <t>Tabla 2 - Vj = 1,5 m/s</t>
  </si>
  <si>
    <t>Tabla 2 - Vj = 1,0 m/s</t>
  </si>
  <si>
    <t>Tabla 2 - Vj = 0,5 m/s</t>
  </si>
  <si>
    <t>Datos iniciales - Modificación valor de Icl</t>
  </si>
  <si>
    <t>Datos iniciales - Modificación valor de M</t>
  </si>
  <si>
    <t>D0</t>
  </si>
  <si>
    <t>X0</t>
  </si>
  <si>
    <t>Valores geométricos cambiados para que no de Vj negativa</t>
  </si>
  <si>
    <t>ang</t>
  </si>
  <si>
    <t>°</t>
  </si>
  <si>
    <t>fcl</t>
  </si>
  <si>
    <t>Vj</t>
  </si>
  <si>
    <t>hc</t>
  </si>
  <si>
    <t>hr</t>
  </si>
  <si>
    <t>h</t>
  </si>
  <si>
    <t>Fcl</t>
  </si>
  <si>
    <t>Ta(0.5)</t>
  </si>
  <si>
    <t>Fpcl</t>
  </si>
  <si>
    <t>Ps Ta(0.5)</t>
  </si>
  <si>
    <t>C</t>
  </si>
  <si>
    <t>X0/D0</t>
  </si>
  <si>
    <t>Vj/V0</t>
  </si>
  <si>
    <t>V0</t>
  </si>
  <si>
    <t>TA-Tj/TA-T0</t>
  </si>
  <si>
    <t>T0</t>
  </si>
  <si>
    <t>P0</t>
  </si>
  <si>
    <t>ec 8</t>
  </si>
  <si>
    <t>ec 12</t>
  </si>
  <si>
    <t>ec 13</t>
  </si>
  <si>
    <t>ec 11</t>
  </si>
  <si>
    <t>ec 9</t>
  </si>
  <si>
    <t>ec 10</t>
  </si>
  <si>
    <t>ec 18</t>
  </si>
  <si>
    <t>Coeficientes</t>
  </si>
  <si>
    <t>Tabla 1</t>
  </si>
  <si>
    <t>ec 5</t>
  </si>
  <si>
    <t>ec 7</t>
  </si>
  <si>
    <t>ec 6</t>
  </si>
  <si>
    <t>ec 20</t>
  </si>
  <si>
    <t>ec 21</t>
  </si>
  <si>
    <t>ec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</si>
</sst>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A033-C110-4CD0-947B-16F70040E3CD}">
  <dimension ref="B2:O43"/>
  <sheetViews>
    <sheetView tabSelected="1" workbookViewId="0">
      <selection activeCell="C18" sqref="C18"/>
    </sheetView>
  </sheetViews>
  <sheetFormatPr baseColWidth="10" defaultRowHeight="14.4" x14ac:dyDescent="0.3"/>
  <sheetData>
    <row r="2" spans="2:15" x14ac:dyDescent="0.3">
      <c r="B2" s="1" t="s">
        <v>11</v>
      </c>
      <c r="G2" s="1" t="s">
        <v>25</v>
      </c>
      <c r="L2" s="1" t="s">
        <v>26</v>
      </c>
    </row>
    <row r="3" spans="2:15" x14ac:dyDescent="0.3">
      <c r="B3" t="s">
        <v>0</v>
      </c>
      <c r="C3">
        <v>40</v>
      </c>
      <c r="D3" t="s">
        <v>1</v>
      </c>
      <c r="G3" t="s">
        <v>0</v>
      </c>
      <c r="H3">
        <v>40</v>
      </c>
      <c r="I3" t="s">
        <v>1</v>
      </c>
      <c r="L3" t="s">
        <v>0</v>
      </c>
      <c r="M3">
        <v>40</v>
      </c>
      <c r="N3" t="s">
        <v>1</v>
      </c>
    </row>
    <row r="4" spans="2:15" x14ac:dyDescent="0.3">
      <c r="B4" t="s">
        <v>2</v>
      </c>
      <c r="C4">
        <v>50</v>
      </c>
      <c r="D4" t="s">
        <v>3</v>
      </c>
      <c r="G4" t="s">
        <v>2</v>
      </c>
      <c r="H4">
        <v>50</v>
      </c>
      <c r="I4" t="s">
        <v>3</v>
      </c>
      <c r="L4" t="s">
        <v>2</v>
      </c>
      <c r="M4">
        <v>50</v>
      </c>
      <c r="N4" t="s">
        <v>3</v>
      </c>
    </row>
    <row r="5" spans="2:15" x14ac:dyDescent="0.3">
      <c r="B5" t="s">
        <v>4</v>
      </c>
      <c r="C5">
        <v>45</v>
      </c>
      <c r="D5" t="s">
        <v>1</v>
      </c>
      <c r="G5" t="s">
        <v>4</v>
      </c>
      <c r="H5">
        <v>45</v>
      </c>
      <c r="I5" t="s">
        <v>1</v>
      </c>
      <c r="L5" t="s">
        <v>4</v>
      </c>
      <c r="M5">
        <v>45</v>
      </c>
      <c r="N5" t="s">
        <v>1</v>
      </c>
    </row>
    <row r="6" spans="2:15" x14ac:dyDescent="0.3">
      <c r="B6" t="s">
        <v>5</v>
      </c>
      <c r="C6">
        <v>27.67</v>
      </c>
      <c r="D6" t="s">
        <v>6</v>
      </c>
      <c r="G6" t="s">
        <v>5</v>
      </c>
      <c r="H6">
        <v>27.67</v>
      </c>
      <c r="I6" t="s">
        <v>6</v>
      </c>
      <c r="L6" t="s">
        <v>5</v>
      </c>
      <c r="M6">
        <v>27.67</v>
      </c>
      <c r="N6" t="s">
        <v>6</v>
      </c>
    </row>
    <row r="7" spans="2:15" x14ac:dyDescent="0.3">
      <c r="B7" t="s">
        <v>7</v>
      </c>
      <c r="C7">
        <v>0.6</v>
      </c>
      <c r="G7" t="s">
        <v>7</v>
      </c>
      <c r="H7" s="1">
        <v>0.3</v>
      </c>
      <c r="L7" t="s">
        <v>7</v>
      </c>
      <c r="M7">
        <v>0.3</v>
      </c>
    </row>
    <row r="8" spans="2:15" x14ac:dyDescent="0.3">
      <c r="B8" t="s">
        <v>8</v>
      </c>
      <c r="C8">
        <v>87</v>
      </c>
      <c r="D8" t="s">
        <v>9</v>
      </c>
      <c r="G8" t="s">
        <v>8</v>
      </c>
      <c r="H8">
        <v>87</v>
      </c>
      <c r="I8" t="s">
        <v>9</v>
      </c>
      <c r="L8" t="s">
        <v>8</v>
      </c>
      <c r="M8" s="1">
        <v>174</v>
      </c>
      <c r="N8" t="s">
        <v>9</v>
      </c>
    </row>
    <row r="9" spans="2:15" x14ac:dyDescent="0.3">
      <c r="B9" t="s">
        <v>10</v>
      </c>
      <c r="C9">
        <v>0.30480000000000002</v>
      </c>
      <c r="D9" t="s">
        <v>6</v>
      </c>
      <c r="G9" t="s">
        <v>10</v>
      </c>
      <c r="H9">
        <v>0.30480000000000002</v>
      </c>
      <c r="I9" t="s">
        <v>6</v>
      </c>
      <c r="L9" t="s">
        <v>10</v>
      </c>
      <c r="M9" s="1">
        <v>0.31269999999999998</v>
      </c>
      <c r="N9" t="s">
        <v>6</v>
      </c>
      <c r="O9" t="s">
        <v>29</v>
      </c>
    </row>
    <row r="10" spans="2:15" x14ac:dyDescent="0.3">
      <c r="B10" t="s">
        <v>27</v>
      </c>
      <c r="C10">
        <v>0.127</v>
      </c>
      <c r="D10" t="s">
        <v>13</v>
      </c>
      <c r="G10" t="s">
        <v>27</v>
      </c>
      <c r="H10">
        <v>0.127</v>
      </c>
      <c r="I10" t="s">
        <v>13</v>
      </c>
      <c r="L10" t="s">
        <v>27</v>
      </c>
      <c r="M10" s="1">
        <v>0.152</v>
      </c>
      <c r="N10" t="s">
        <v>13</v>
      </c>
    </row>
    <row r="11" spans="2:15" x14ac:dyDescent="0.3">
      <c r="B11" t="s">
        <v>28</v>
      </c>
      <c r="C11">
        <v>1.2589999999999999</v>
      </c>
      <c r="D11" t="s">
        <v>13</v>
      </c>
      <c r="G11" t="s">
        <v>28</v>
      </c>
      <c r="H11">
        <v>1.2589999999999999</v>
      </c>
      <c r="I11" t="s">
        <v>13</v>
      </c>
      <c r="L11" t="s">
        <v>28</v>
      </c>
      <c r="M11" s="1">
        <v>1.1218999999999999</v>
      </c>
      <c r="N11" t="s">
        <v>13</v>
      </c>
    </row>
    <row r="12" spans="2:15" x14ac:dyDescent="0.3">
      <c r="B12" t="s">
        <v>30</v>
      </c>
      <c r="C12">
        <v>22</v>
      </c>
      <c r="D12" t="s">
        <v>31</v>
      </c>
      <c r="G12" t="s">
        <v>30</v>
      </c>
      <c r="H12">
        <v>22</v>
      </c>
      <c r="I12" t="s">
        <v>31</v>
      </c>
      <c r="L12" t="s">
        <v>30</v>
      </c>
      <c r="M12">
        <v>22</v>
      </c>
      <c r="N12" t="s">
        <v>31</v>
      </c>
    </row>
    <row r="14" spans="2:15" x14ac:dyDescent="0.3">
      <c r="B14" s="1" t="s">
        <v>20</v>
      </c>
      <c r="G14" s="1" t="s">
        <v>20</v>
      </c>
      <c r="L14" s="1" t="s">
        <v>20</v>
      </c>
    </row>
    <row r="15" spans="2:15" x14ac:dyDescent="0.3">
      <c r="B15" s="2" t="s">
        <v>12</v>
      </c>
      <c r="C15" s="2" t="s">
        <v>14</v>
      </c>
      <c r="D15" s="2" t="s">
        <v>15</v>
      </c>
      <c r="E15" s="2"/>
      <c r="G15" s="2" t="s">
        <v>12</v>
      </c>
      <c r="H15" s="2" t="s">
        <v>14</v>
      </c>
      <c r="I15" s="2" t="s">
        <v>15</v>
      </c>
      <c r="L15" s="2" t="s">
        <v>12</v>
      </c>
      <c r="M15" s="2" t="s">
        <v>14</v>
      </c>
      <c r="N15" s="2" t="s">
        <v>15</v>
      </c>
    </row>
    <row r="16" spans="2:15" x14ac:dyDescent="0.3">
      <c r="B16" s="2">
        <v>0.5</v>
      </c>
      <c r="C16" s="2">
        <v>0.70899999999999996</v>
      </c>
      <c r="D16" s="2">
        <v>43.03</v>
      </c>
      <c r="E16" s="2"/>
      <c r="G16" s="2">
        <v>0.5</v>
      </c>
      <c r="H16" s="2">
        <v>0.78800000000000003</v>
      </c>
      <c r="I16" s="2">
        <v>58.94</v>
      </c>
      <c r="L16" s="2">
        <v>0.5</v>
      </c>
      <c r="M16" s="2"/>
      <c r="N16" s="2"/>
    </row>
    <row r="17" spans="2:15" x14ac:dyDescent="0.3">
      <c r="B17" s="2">
        <v>1</v>
      </c>
      <c r="C17" s="2">
        <v>0.72199999999999998</v>
      </c>
      <c r="D17" s="2">
        <v>48.66</v>
      </c>
      <c r="E17" s="2"/>
      <c r="G17" s="2">
        <v>1</v>
      </c>
      <c r="H17" s="2">
        <v>0.78600000000000003</v>
      </c>
      <c r="I17" s="2">
        <v>57.48</v>
      </c>
      <c r="L17" s="2">
        <v>1</v>
      </c>
      <c r="M17" s="2"/>
      <c r="N17" s="2"/>
    </row>
    <row r="18" spans="2:15" x14ac:dyDescent="0.3">
      <c r="B18" s="2">
        <v>1.5</v>
      </c>
      <c r="C18" s="2">
        <v>0.73099999999999998</v>
      </c>
      <c r="D18" s="2">
        <v>51.6</v>
      </c>
      <c r="E18" s="2"/>
      <c r="G18" s="2">
        <v>1.5</v>
      </c>
      <c r="H18" s="2">
        <v>0.78300000000000003</v>
      </c>
      <c r="I18" s="2">
        <v>54.35</v>
      </c>
      <c r="L18" s="2">
        <v>1.5</v>
      </c>
      <c r="M18" s="2"/>
      <c r="N18" s="2"/>
    </row>
    <row r="19" spans="2:15" x14ac:dyDescent="0.3">
      <c r="B19" s="2">
        <v>2</v>
      </c>
      <c r="C19" s="2">
        <v>0.73699999999999999</v>
      </c>
      <c r="D19" s="2">
        <v>52.85</v>
      </c>
      <c r="E19" s="2"/>
      <c r="G19" s="2">
        <v>2</v>
      </c>
      <c r="H19" s="2">
        <v>0.77900000000000003</v>
      </c>
      <c r="I19" s="2">
        <v>48.2</v>
      </c>
      <c r="L19" s="2">
        <v>2</v>
      </c>
      <c r="M19" s="2">
        <v>-0.73699999999999999</v>
      </c>
      <c r="N19" s="2">
        <v>37.363</v>
      </c>
    </row>
    <row r="20" spans="2:15" x14ac:dyDescent="0.3">
      <c r="B20" s="2"/>
      <c r="C20" s="2"/>
      <c r="D20" s="2"/>
      <c r="E20" s="2"/>
    </row>
    <row r="21" spans="2:15" x14ac:dyDescent="0.3">
      <c r="B21" s="1" t="s">
        <v>21</v>
      </c>
      <c r="C21" s="2"/>
      <c r="D21" s="2"/>
      <c r="E21" s="2"/>
      <c r="G21" s="1" t="s">
        <v>21</v>
      </c>
      <c r="H21" s="2"/>
      <c r="I21" s="2"/>
      <c r="J21" s="2"/>
      <c r="L21" s="1" t="s">
        <v>21</v>
      </c>
      <c r="M21" s="2"/>
      <c r="N21" s="2"/>
      <c r="O21" s="2"/>
    </row>
    <row r="22" spans="2:15" x14ac:dyDescent="0.3">
      <c r="B22" s="2" t="s">
        <v>16</v>
      </c>
      <c r="C22" s="2" t="s">
        <v>17</v>
      </c>
      <c r="D22" s="2" t="s">
        <v>18</v>
      </c>
      <c r="E22" s="2" t="s">
        <v>19</v>
      </c>
      <c r="G22" s="2" t="s">
        <v>16</v>
      </c>
      <c r="H22" s="2" t="s">
        <v>17</v>
      </c>
      <c r="I22" s="2" t="s">
        <v>18</v>
      </c>
      <c r="J22" s="2" t="s">
        <v>19</v>
      </c>
      <c r="L22" s="2" t="s">
        <v>16</v>
      </c>
      <c r="M22" s="2" t="s">
        <v>17</v>
      </c>
      <c r="N22" s="2" t="s">
        <v>18</v>
      </c>
      <c r="O22" s="2" t="s">
        <v>19</v>
      </c>
    </row>
    <row r="23" spans="2:15" x14ac:dyDescent="0.3">
      <c r="B23" s="2">
        <v>0.9</v>
      </c>
      <c r="C23" s="2">
        <v>27.58</v>
      </c>
      <c r="D23" s="2">
        <v>35.479999999999997</v>
      </c>
      <c r="E23" s="2">
        <v>26.33</v>
      </c>
      <c r="G23" s="2">
        <v>0.9</v>
      </c>
      <c r="H23" s="2">
        <v>32.42</v>
      </c>
      <c r="I23" s="2">
        <v>37.24</v>
      </c>
      <c r="J23" s="2">
        <v>29.59</v>
      </c>
      <c r="L23" s="2">
        <v>0.9</v>
      </c>
      <c r="M23" s="2">
        <v>6.69</v>
      </c>
      <c r="N23" s="2">
        <v>25.71</v>
      </c>
      <c r="O23" s="2">
        <v>18.420000000000002</v>
      </c>
    </row>
    <row r="24" spans="2:15" x14ac:dyDescent="0.3">
      <c r="B24" s="2">
        <v>0.95</v>
      </c>
      <c r="C24" s="2">
        <v>26.96</v>
      </c>
      <c r="D24" s="2">
        <v>35.25</v>
      </c>
      <c r="E24" s="2">
        <v>26.87</v>
      </c>
      <c r="G24" s="2">
        <v>0.95</v>
      </c>
      <c r="H24" s="2">
        <v>31.75</v>
      </c>
      <c r="I24" s="2">
        <v>37</v>
      </c>
      <c r="J24" s="2">
        <v>29.78</v>
      </c>
      <c r="L24" s="2">
        <v>0.95</v>
      </c>
      <c r="M24" s="2">
        <v>6.39</v>
      </c>
      <c r="N24" s="2">
        <v>25.58</v>
      </c>
      <c r="O24" s="2">
        <v>18.510000000000002</v>
      </c>
    </row>
    <row r="25" spans="2:15" x14ac:dyDescent="0.3">
      <c r="B25" s="2">
        <v>1</v>
      </c>
      <c r="C25" s="2">
        <v>26.38</v>
      </c>
      <c r="D25" s="2">
        <v>35.04</v>
      </c>
      <c r="E25" s="2">
        <v>27.03</v>
      </c>
      <c r="G25" s="2">
        <v>1</v>
      </c>
      <c r="H25" s="2">
        <v>31.11</v>
      </c>
      <c r="I25" s="2">
        <v>36.76</v>
      </c>
      <c r="J25" s="2">
        <v>29.97</v>
      </c>
      <c r="L25" s="2">
        <v>1</v>
      </c>
      <c r="M25" s="2">
        <v>6.1</v>
      </c>
      <c r="N25" s="2">
        <v>25.46</v>
      </c>
      <c r="O25" s="2">
        <v>18.600000000000001</v>
      </c>
    </row>
    <row r="27" spans="2:15" x14ac:dyDescent="0.3">
      <c r="B27" s="1" t="s">
        <v>22</v>
      </c>
      <c r="C27" s="2"/>
      <c r="D27" s="2"/>
      <c r="E27" s="2"/>
      <c r="G27" s="1" t="s">
        <v>22</v>
      </c>
      <c r="H27" s="2"/>
      <c r="I27" s="2"/>
      <c r="J27" s="2"/>
      <c r="L27" s="1" t="s">
        <v>22</v>
      </c>
      <c r="M27" s="2"/>
      <c r="N27" s="2"/>
      <c r="O27" s="2"/>
    </row>
    <row r="28" spans="2:15" x14ac:dyDescent="0.3">
      <c r="B28" s="2" t="s">
        <v>16</v>
      </c>
      <c r="C28" s="2" t="s">
        <v>17</v>
      </c>
      <c r="D28" s="2" t="s">
        <v>18</v>
      </c>
      <c r="E28" s="2" t="s">
        <v>19</v>
      </c>
      <c r="G28" s="2" t="s">
        <v>16</v>
      </c>
      <c r="H28" s="2" t="s">
        <v>17</v>
      </c>
      <c r="I28" s="2" t="s">
        <v>18</v>
      </c>
      <c r="J28" s="2" t="s">
        <v>19</v>
      </c>
      <c r="L28" s="2" t="s">
        <v>16</v>
      </c>
      <c r="M28" s="2" t="s">
        <v>17</v>
      </c>
      <c r="N28" s="2" t="s">
        <v>18</v>
      </c>
      <c r="O28" s="2" t="s">
        <v>19</v>
      </c>
    </row>
    <row r="29" spans="2:15" x14ac:dyDescent="0.3">
      <c r="B29" s="2">
        <v>0.9</v>
      </c>
      <c r="C29" s="2">
        <v>26.73</v>
      </c>
      <c r="D29" s="2">
        <v>35.17</v>
      </c>
      <c r="E29" s="2">
        <v>25.88</v>
      </c>
      <c r="G29" s="2">
        <v>0.9</v>
      </c>
      <c r="H29" s="2">
        <v>31</v>
      </c>
      <c r="I29" s="2">
        <v>36.72</v>
      </c>
      <c r="J29" s="2">
        <v>28.61</v>
      </c>
      <c r="L29" s="2">
        <v>0.9</v>
      </c>
      <c r="M29" s="2"/>
      <c r="N29" s="2"/>
      <c r="O29" s="2"/>
    </row>
    <row r="30" spans="2:15" x14ac:dyDescent="0.3">
      <c r="B30" s="2">
        <v>0.95</v>
      </c>
      <c r="C30" s="2">
        <v>26.12</v>
      </c>
      <c r="D30" s="2">
        <v>24.95</v>
      </c>
      <c r="E30" s="2">
        <v>26.04</v>
      </c>
      <c r="G30" s="2">
        <v>0.95</v>
      </c>
      <c r="H30" s="2">
        <v>30.28</v>
      </c>
      <c r="I30" s="2">
        <v>36.46</v>
      </c>
      <c r="J30" s="2">
        <v>28.82</v>
      </c>
      <c r="L30" s="2">
        <v>0.95</v>
      </c>
      <c r="M30" s="2"/>
      <c r="N30" s="2"/>
      <c r="O30" s="2"/>
    </row>
    <row r="31" spans="2:15" x14ac:dyDescent="0.3">
      <c r="B31" s="2">
        <v>1</v>
      </c>
      <c r="C31" s="2">
        <v>25.55</v>
      </c>
      <c r="D31" s="2">
        <v>24.74</v>
      </c>
      <c r="E31" s="2">
        <v>26.2</v>
      </c>
      <c r="G31" s="2">
        <v>1</v>
      </c>
      <c r="H31" s="2">
        <v>29.66</v>
      </c>
      <c r="I31" s="2">
        <v>36.24</v>
      </c>
      <c r="J31" s="2">
        <v>28.99</v>
      </c>
      <c r="L31" s="2">
        <v>1</v>
      </c>
      <c r="M31" s="2"/>
      <c r="N31" s="2"/>
      <c r="O31" s="2"/>
    </row>
    <row r="33" spans="2:15" x14ac:dyDescent="0.3">
      <c r="B33" s="1" t="s">
        <v>23</v>
      </c>
      <c r="C33" s="2"/>
      <c r="D33" s="2"/>
      <c r="E33" s="2"/>
      <c r="G33" s="1" t="s">
        <v>23</v>
      </c>
      <c r="H33" s="2"/>
      <c r="I33" s="2"/>
      <c r="J33" s="2"/>
      <c r="L33" s="1" t="s">
        <v>23</v>
      </c>
      <c r="M33" s="2"/>
      <c r="N33" s="2"/>
      <c r="O33" s="2"/>
    </row>
    <row r="34" spans="2:15" x14ac:dyDescent="0.3">
      <c r="B34" s="2" t="s">
        <v>16</v>
      </c>
      <c r="C34" s="2" t="s">
        <v>17</v>
      </c>
      <c r="D34" s="2" t="s">
        <v>18</v>
      </c>
      <c r="E34" s="2" t="s">
        <v>19</v>
      </c>
      <c r="G34" s="2" t="s">
        <v>16</v>
      </c>
      <c r="H34" s="2" t="s">
        <v>17</v>
      </c>
      <c r="I34" s="2" t="s">
        <v>18</v>
      </c>
      <c r="J34" s="2" t="s">
        <v>19</v>
      </c>
      <c r="L34" s="2" t="s">
        <v>16</v>
      </c>
      <c r="M34" s="2" t="s">
        <v>17</v>
      </c>
      <c r="N34" s="2" t="s">
        <v>18</v>
      </c>
      <c r="O34" s="2" t="s">
        <v>19</v>
      </c>
    </row>
    <row r="35" spans="2:15" x14ac:dyDescent="0.3">
      <c r="B35" s="2">
        <v>0.9</v>
      </c>
      <c r="C35" s="2">
        <v>22.57</v>
      </c>
      <c r="D35" s="2">
        <v>33.659999999999997</v>
      </c>
      <c r="E35" s="2">
        <v>24.35</v>
      </c>
      <c r="G35" s="2">
        <v>0.9</v>
      </c>
      <c r="H35" s="2">
        <v>27.42</v>
      </c>
      <c r="I35" s="2">
        <v>35.42</v>
      </c>
      <c r="J35" s="2">
        <v>26.61</v>
      </c>
      <c r="L35" s="2">
        <v>0.9</v>
      </c>
      <c r="M35" s="2"/>
      <c r="N35" s="2"/>
      <c r="O35" s="2"/>
    </row>
    <row r="36" spans="2:15" x14ac:dyDescent="0.3">
      <c r="B36" s="2">
        <v>0.95</v>
      </c>
      <c r="C36" s="2">
        <v>22.03</v>
      </c>
      <c r="D36" s="2">
        <v>33.340000000000003</v>
      </c>
      <c r="E36" s="2">
        <v>24.58</v>
      </c>
      <c r="G36" s="2">
        <v>0.95</v>
      </c>
      <c r="H36" s="2">
        <v>26.82</v>
      </c>
      <c r="I36" s="2">
        <v>35.200000000000003</v>
      </c>
      <c r="J36" s="2">
        <v>26.78</v>
      </c>
      <c r="L36" s="2">
        <v>0.95</v>
      </c>
      <c r="M36" s="2"/>
      <c r="N36" s="2"/>
      <c r="O36" s="2"/>
    </row>
    <row r="37" spans="2:15" x14ac:dyDescent="0.3">
      <c r="B37" s="2">
        <v>1</v>
      </c>
      <c r="C37" s="2">
        <v>21.51</v>
      </c>
      <c r="D37" s="2">
        <v>33.159999999999997</v>
      </c>
      <c r="E37" s="2">
        <v>27.71</v>
      </c>
      <c r="G37" s="2">
        <v>1</v>
      </c>
      <c r="H37" s="2">
        <v>26.25</v>
      </c>
      <c r="I37" s="2">
        <v>35</v>
      </c>
      <c r="J37" s="2">
        <v>26.94</v>
      </c>
      <c r="L37" s="2">
        <v>1</v>
      </c>
      <c r="M37" s="2"/>
      <c r="N37" s="2"/>
      <c r="O37" s="2"/>
    </row>
    <row r="39" spans="2:15" x14ac:dyDescent="0.3">
      <c r="B39" s="1" t="s">
        <v>24</v>
      </c>
      <c r="C39" s="2"/>
      <c r="D39" s="2"/>
      <c r="E39" s="2"/>
      <c r="G39" s="1" t="s">
        <v>24</v>
      </c>
      <c r="H39" s="2"/>
      <c r="I39" s="2"/>
      <c r="J39" s="2"/>
      <c r="L39" s="1" t="s">
        <v>24</v>
      </c>
      <c r="M39" s="2"/>
      <c r="N39" s="2"/>
      <c r="O39" s="2"/>
    </row>
    <row r="40" spans="2:15" x14ac:dyDescent="0.3">
      <c r="B40" s="2" t="s">
        <v>16</v>
      </c>
      <c r="C40" s="2" t="s">
        <v>17</v>
      </c>
      <c r="D40" s="2" t="s">
        <v>18</v>
      </c>
      <c r="E40" s="2" t="s">
        <v>19</v>
      </c>
      <c r="G40" s="2" t="s">
        <v>16</v>
      </c>
      <c r="H40" s="2" t="s">
        <v>17</v>
      </c>
      <c r="I40" s="2" t="s">
        <v>18</v>
      </c>
      <c r="J40" s="2" t="s">
        <v>19</v>
      </c>
      <c r="L40" s="2" t="s">
        <v>16</v>
      </c>
      <c r="M40" s="2" t="s">
        <v>17</v>
      </c>
      <c r="N40" s="2" t="s">
        <v>18</v>
      </c>
      <c r="O40" s="2" t="s">
        <v>19</v>
      </c>
    </row>
    <row r="41" spans="2:15" x14ac:dyDescent="0.3">
      <c r="B41" s="2">
        <v>0.9</v>
      </c>
      <c r="C41" s="2">
        <v>13.7</v>
      </c>
      <c r="D41" s="2">
        <v>30.05</v>
      </c>
      <c r="E41" s="2">
        <v>21.73</v>
      </c>
      <c r="G41" s="2">
        <v>0.9</v>
      </c>
      <c r="H41" s="2">
        <v>18.940000000000001</v>
      </c>
      <c r="I41" s="2">
        <v>32.33</v>
      </c>
      <c r="J41" s="2">
        <v>23</v>
      </c>
      <c r="L41" s="2">
        <v>0.9</v>
      </c>
      <c r="M41" s="2"/>
      <c r="N41" s="2"/>
      <c r="O41" s="2"/>
    </row>
    <row r="42" spans="2:15" x14ac:dyDescent="0.3">
      <c r="B42" s="2">
        <v>0.95</v>
      </c>
      <c r="C42" s="2">
        <v>13.27</v>
      </c>
      <c r="D42" s="2">
        <v>29.75</v>
      </c>
      <c r="E42" s="2">
        <v>21.95</v>
      </c>
      <c r="G42" s="2">
        <v>0.95</v>
      </c>
      <c r="H42" s="2">
        <v>18.47</v>
      </c>
      <c r="I42" s="2">
        <v>32.159999999999997</v>
      </c>
      <c r="J42" s="2">
        <v>23.14</v>
      </c>
      <c r="L42" s="2">
        <v>0.95</v>
      </c>
      <c r="M42" s="2"/>
      <c r="N42" s="2"/>
      <c r="O42" s="2"/>
    </row>
    <row r="43" spans="2:15" x14ac:dyDescent="0.3">
      <c r="B43" s="2">
        <v>1</v>
      </c>
      <c r="C43" s="2">
        <v>12.87</v>
      </c>
      <c r="D43" s="2">
        <v>29.46</v>
      </c>
      <c r="E43" s="2">
        <v>22.15</v>
      </c>
      <c r="G43" s="2">
        <v>1</v>
      </c>
      <c r="H43" s="2">
        <v>18.02</v>
      </c>
      <c r="I43" s="2">
        <v>32</v>
      </c>
      <c r="J43" s="2">
        <v>23.27</v>
      </c>
      <c r="L43" s="2">
        <v>1</v>
      </c>
      <c r="M43" s="2"/>
      <c r="N43" s="2"/>
      <c r="O43" s="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BEB0-9A5D-4A26-B308-0EDE2796F04A}">
  <dimension ref="B2:H43"/>
  <sheetViews>
    <sheetView workbookViewId="0">
      <selection activeCell="G13" sqref="G13"/>
    </sheetView>
  </sheetViews>
  <sheetFormatPr baseColWidth="10" defaultRowHeight="14.4" x14ac:dyDescent="0.3"/>
  <sheetData>
    <row r="2" spans="2:8" x14ac:dyDescent="0.3">
      <c r="B2" s="1" t="s">
        <v>11</v>
      </c>
    </row>
    <row r="3" spans="2:8" x14ac:dyDescent="0.3">
      <c r="B3" t="s">
        <v>0</v>
      </c>
      <c r="C3">
        <v>40</v>
      </c>
      <c r="D3" t="s">
        <v>1</v>
      </c>
      <c r="F3" t="s">
        <v>32</v>
      </c>
      <c r="G3" s="3">
        <f>1+0.2*C7</f>
        <v>1.1200000000000001</v>
      </c>
      <c r="H3" t="s">
        <v>48</v>
      </c>
    </row>
    <row r="4" spans="2:8" x14ac:dyDescent="0.3">
      <c r="B4" t="s">
        <v>2</v>
      </c>
      <c r="C4">
        <v>50</v>
      </c>
      <c r="D4" t="s">
        <v>3</v>
      </c>
      <c r="F4" t="s">
        <v>33</v>
      </c>
      <c r="G4">
        <v>0.5</v>
      </c>
    </row>
    <row r="5" spans="2:8" x14ac:dyDescent="0.3">
      <c r="B5" t="s">
        <v>4</v>
      </c>
      <c r="C5">
        <v>45</v>
      </c>
      <c r="D5" t="s">
        <v>1</v>
      </c>
      <c r="F5" t="s">
        <v>34</v>
      </c>
      <c r="G5" s="3">
        <f>8.3*G4^0.5</f>
        <v>5.8689862838483453</v>
      </c>
      <c r="H5" t="s">
        <v>49</v>
      </c>
    </row>
    <row r="6" spans="2:8" x14ac:dyDescent="0.3">
      <c r="B6" t="s">
        <v>5</v>
      </c>
      <c r="C6">
        <v>27.67</v>
      </c>
      <c r="D6" t="s">
        <v>6</v>
      </c>
      <c r="F6" t="s">
        <v>35</v>
      </c>
      <c r="G6" s="3">
        <f>3.87+0.031*C5</f>
        <v>5.2650000000000006</v>
      </c>
      <c r="H6" t="s">
        <v>50</v>
      </c>
    </row>
    <row r="7" spans="2:8" x14ac:dyDescent="0.3">
      <c r="B7" t="s">
        <v>7</v>
      </c>
      <c r="C7">
        <v>0.6</v>
      </c>
      <c r="F7" t="s">
        <v>36</v>
      </c>
      <c r="G7" s="3">
        <f>+G5+G6</f>
        <v>11.133986283848346</v>
      </c>
      <c r="H7" t="s">
        <v>51</v>
      </c>
    </row>
    <row r="8" spans="2:8" x14ac:dyDescent="0.3">
      <c r="B8" t="s">
        <v>8</v>
      </c>
      <c r="C8">
        <v>87</v>
      </c>
      <c r="D8" t="s">
        <v>9</v>
      </c>
      <c r="F8" t="s">
        <v>37</v>
      </c>
      <c r="G8" s="3">
        <f>1/(1+0.155*G7*G3*C7)</f>
        <v>0.46302383959555649</v>
      </c>
      <c r="H8" t="s">
        <v>52</v>
      </c>
    </row>
    <row r="9" spans="2:8" x14ac:dyDescent="0.3">
      <c r="B9" t="s">
        <v>10</v>
      </c>
      <c r="C9">
        <v>0.30480000000000002</v>
      </c>
      <c r="D9" t="s">
        <v>6</v>
      </c>
      <c r="F9" t="s">
        <v>39</v>
      </c>
      <c r="G9" s="3">
        <f>1/(1+0.143*G5*C7)</f>
        <v>0.66508862279459136</v>
      </c>
      <c r="H9" t="s">
        <v>53</v>
      </c>
    </row>
    <row r="10" spans="2:8" x14ac:dyDescent="0.3">
      <c r="B10" t="s">
        <v>27</v>
      </c>
      <c r="C10">
        <v>0.127</v>
      </c>
      <c r="D10" t="s">
        <v>13</v>
      </c>
      <c r="F10" t="s">
        <v>55</v>
      </c>
      <c r="G10">
        <v>-0.27700000000000002</v>
      </c>
      <c r="H10" t="s">
        <v>56</v>
      </c>
    </row>
    <row r="11" spans="2:8" x14ac:dyDescent="0.3">
      <c r="B11" t="s">
        <v>28</v>
      </c>
      <c r="C11" s="3">
        <f>(C9-0.5*C10)/TAN(C12*PI()/180/2)</f>
        <v>1.2589689574110994</v>
      </c>
      <c r="D11" t="s">
        <v>13</v>
      </c>
      <c r="G11">
        <v>45.9</v>
      </c>
    </row>
    <row r="12" spans="2:8" x14ac:dyDescent="0.3">
      <c r="B12" t="s">
        <v>30</v>
      </c>
      <c r="C12">
        <v>21.7</v>
      </c>
      <c r="D12" t="s">
        <v>31</v>
      </c>
      <c r="F12" t="s">
        <v>38</v>
      </c>
      <c r="G12" s="3">
        <f>G10*C5+G11</f>
        <v>33.434999999999995</v>
      </c>
      <c r="H12" t="s">
        <v>54</v>
      </c>
    </row>
    <row r="13" spans="2:8" x14ac:dyDescent="0.3">
      <c r="B13" t="s">
        <v>16</v>
      </c>
      <c r="C13">
        <v>95</v>
      </c>
      <c r="D13" t="s">
        <v>3</v>
      </c>
      <c r="F13" t="s">
        <v>13</v>
      </c>
      <c r="G13" s="3">
        <f>G3*G8/(1.1*G9)</f>
        <v>0.70884155690411277</v>
      </c>
      <c r="H13" t="s">
        <v>57</v>
      </c>
    </row>
    <row r="14" spans="2:8" x14ac:dyDescent="0.3">
      <c r="B14" s="1" t="s">
        <v>20</v>
      </c>
      <c r="F14" t="s">
        <v>40</v>
      </c>
      <c r="G14" s="3">
        <f>EXP(18.6686-4030.183/(G12+235))</f>
        <v>38.666471883867153</v>
      </c>
      <c r="H14" t="s">
        <v>58</v>
      </c>
    </row>
    <row r="15" spans="2:8" x14ac:dyDescent="0.3">
      <c r="B15" s="2" t="s">
        <v>12</v>
      </c>
      <c r="C15" s="2" t="s">
        <v>14</v>
      </c>
      <c r="D15" s="2" t="s">
        <v>15</v>
      </c>
      <c r="E15" s="2"/>
      <c r="F15" t="s">
        <v>41</v>
      </c>
      <c r="G15" s="3">
        <f>G13*G12+0.5*G14</f>
        <v>43.03335339702258</v>
      </c>
      <c r="H15" s="5" t="s">
        <v>59</v>
      </c>
    </row>
    <row r="16" spans="2:8" x14ac:dyDescent="0.3">
      <c r="B16" s="2">
        <v>0.5</v>
      </c>
      <c r="C16" s="2">
        <v>0.70899999999999996</v>
      </c>
      <c r="D16" s="2">
        <v>43.03</v>
      </c>
      <c r="E16" s="2"/>
      <c r="F16" t="s">
        <v>42</v>
      </c>
      <c r="G16" s="3">
        <f>C11/C10</f>
        <v>9.9131413969377906</v>
      </c>
    </row>
    <row r="17" spans="2:8" x14ac:dyDescent="0.3">
      <c r="B17" s="2">
        <v>1</v>
      </c>
      <c r="C17" s="2">
        <v>0.72199999999999998</v>
      </c>
      <c r="D17" s="2">
        <v>48.66</v>
      </c>
      <c r="E17" s="2"/>
      <c r="F17" s="4" t="s">
        <v>43</v>
      </c>
      <c r="G17" s="3">
        <f>1.464/(G16+2.572)</f>
        <v>0.11725938485238722</v>
      </c>
      <c r="H17" t="s">
        <v>60</v>
      </c>
    </row>
    <row r="18" spans="2:8" x14ac:dyDescent="0.3">
      <c r="B18" s="2">
        <v>1.5</v>
      </c>
      <c r="C18" s="2">
        <v>0.73099999999999998</v>
      </c>
      <c r="D18" s="2">
        <v>51.6</v>
      </c>
      <c r="E18" s="2"/>
      <c r="F18" t="s">
        <v>44</v>
      </c>
      <c r="G18" s="3">
        <f>G4/G17</f>
        <v>4.2640510235443276</v>
      </c>
    </row>
    <row r="19" spans="2:8" x14ac:dyDescent="0.3">
      <c r="B19" s="2">
        <v>2</v>
      </c>
      <c r="C19" s="2">
        <v>0.73699999999999999</v>
      </c>
      <c r="D19" s="2">
        <v>52.85</v>
      </c>
      <c r="E19" s="2"/>
      <c r="F19" t="s">
        <v>45</v>
      </c>
      <c r="G19" s="3">
        <f>4.539/(G16+2.572)</f>
        <v>0.36355215016733988</v>
      </c>
      <c r="H19" t="s">
        <v>61</v>
      </c>
    </row>
    <row r="20" spans="2:8" x14ac:dyDescent="0.3">
      <c r="B20" s="2"/>
      <c r="C20" s="2"/>
      <c r="D20" s="2"/>
      <c r="E20" s="2"/>
      <c r="F20" t="s">
        <v>46</v>
      </c>
      <c r="G20" s="2">
        <v>13.295</v>
      </c>
    </row>
    <row r="21" spans="2:8" x14ac:dyDescent="0.3">
      <c r="B21" s="1" t="s">
        <v>21</v>
      </c>
      <c r="C21" s="2"/>
      <c r="D21" s="2"/>
      <c r="E21" s="2"/>
      <c r="F21" t="s">
        <v>47</v>
      </c>
      <c r="G21">
        <f>C13/100*EXP(18.6686-4030.183/(G20+235))</f>
        <v>10.868583181952912</v>
      </c>
      <c r="H21" t="s">
        <v>62</v>
      </c>
    </row>
    <row r="22" spans="2:8" x14ac:dyDescent="0.3">
      <c r="B22" s="2" t="s">
        <v>16</v>
      </c>
      <c r="C22" s="2" t="s">
        <v>17</v>
      </c>
      <c r="D22" s="2" t="s">
        <v>18</v>
      </c>
      <c r="E22" s="2" t="s">
        <v>19</v>
      </c>
      <c r="G22">
        <f>(-(C6+G13*C3)*(1-G19)+G15)/G19</f>
        <v>20.292037877401889</v>
      </c>
    </row>
    <row r="23" spans="2:8" x14ac:dyDescent="0.3">
      <c r="B23" s="2">
        <v>0.9</v>
      </c>
      <c r="C23" s="2">
        <v>27.58</v>
      </c>
      <c r="D23" s="2">
        <v>35.479999999999997</v>
      </c>
      <c r="E23" s="2">
        <v>26.33</v>
      </c>
      <c r="G23">
        <f>-G13*G20+G22</f>
        <v>10.86798937836171</v>
      </c>
    </row>
    <row r="24" spans="2:8" x14ac:dyDescent="0.3">
      <c r="B24" s="2">
        <v>0.95</v>
      </c>
      <c r="C24" s="2">
        <v>26.96</v>
      </c>
      <c r="D24" s="2">
        <v>35.25</v>
      </c>
      <c r="E24" s="2">
        <v>26.87</v>
      </c>
    </row>
    <row r="25" spans="2:8" x14ac:dyDescent="0.3">
      <c r="B25" s="2">
        <v>1</v>
      </c>
      <c r="C25" s="2">
        <v>26.38</v>
      </c>
      <c r="D25" s="2">
        <v>35.04</v>
      </c>
      <c r="E25" s="2">
        <v>27.03</v>
      </c>
    </row>
    <row r="27" spans="2:8" x14ac:dyDescent="0.3">
      <c r="B27" s="1" t="s">
        <v>22</v>
      </c>
      <c r="C27" s="2"/>
      <c r="D27" s="2"/>
      <c r="E27" s="2"/>
    </row>
    <row r="28" spans="2:8" x14ac:dyDescent="0.3">
      <c r="B28" s="2" t="s">
        <v>16</v>
      </c>
      <c r="C28" s="2" t="s">
        <v>17</v>
      </c>
      <c r="D28" s="2" t="s">
        <v>18</v>
      </c>
      <c r="E28" s="2" t="s">
        <v>19</v>
      </c>
    </row>
    <row r="29" spans="2:8" x14ac:dyDescent="0.3">
      <c r="B29" s="2">
        <v>0.9</v>
      </c>
      <c r="C29" s="2">
        <v>26.73</v>
      </c>
      <c r="D29" s="2">
        <v>35.17</v>
      </c>
      <c r="E29" s="2">
        <v>25.88</v>
      </c>
    </row>
    <row r="30" spans="2:8" x14ac:dyDescent="0.3">
      <c r="B30" s="2">
        <v>0.95</v>
      </c>
      <c r="C30" s="2">
        <v>26.12</v>
      </c>
      <c r="D30" s="2">
        <v>24.95</v>
      </c>
      <c r="E30" s="2">
        <v>26.04</v>
      </c>
    </row>
    <row r="31" spans="2:8" x14ac:dyDescent="0.3">
      <c r="B31" s="2">
        <v>1</v>
      </c>
      <c r="C31" s="2">
        <v>25.55</v>
      </c>
      <c r="D31" s="2">
        <v>24.74</v>
      </c>
      <c r="E31" s="2">
        <v>26.2</v>
      </c>
    </row>
    <row r="33" spans="2:5" x14ac:dyDescent="0.3">
      <c r="B33" s="1" t="s">
        <v>23</v>
      </c>
      <c r="C33" s="2"/>
      <c r="D33" s="2"/>
      <c r="E33" s="2"/>
    </row>
    <row r="34" spans="2:5" x14ac:dyDescent="0.3">
      <c r="B34" s="2" t="s">
        <v>16</v>
      </c>
      <c r="C34" s="2" t="s">
        <v>17</v>
      </c>
      <c r="D34" s="2" t="s">
        <v>18</v>
      </c>
      <c r="E34" s="2" t="s">
        <v>19</v>
      </c>
    </row>
    <row r="35" spans="2:5" x14ac:dyDescent="0.3">
      <c r="B35" s="2">
        <v>0.9</v>
      </c>
      <c r="C35" s="2">
        <v>22.57</v>
      </c>
      <c r="D35" s="2">
        <v>33.659999999999997</v>
      </c>
      <c r="E35" s="2">
        <v>24.35</v>
      </c>
    </row>
    <row r="36" spans="2:5" x14ac:dyDescent="0.3">
      <c r="B36" s="2">
        <v>0.95</v>
      </c>
      <c r="C36" s="2">
        <v>22.03</v>
      </c>
      <c r="D36" s="2">
        <v>33.340000000000003</v>
      </c>
      <c r="E36" s="2">
        <v>24.58</v>
      </c>
    </row>
    <row r="37" spans="2:5" x14ac:dyDescent="0.3">
      <c r="B37" s="2">
        <v>1</v>
      </c>
      <c r="C37" s="2">
        <v>21.51</v>
      </c>
      <c r="D37" s="2">
        <v>33.159999999999997</v>
      </c>
      <c r="E37" s="2">
        <v>27.71</v>
      </c>
    </row>
    <row r="39" spans="2:5" x14ac:dyDescent="0.3">
      <c r="B39" s="1" t="s">
        <v>24</v>
      </c>
      <c r="C39" s="2"/>
      <c r="D39" s="2"/>
      <c r="E39" s="2"/>
    </row>
    <row r="40" spans="2:5" x14ac:dyDescent="0.3">
      <c r="B40" s="2" t="s">
        <v>16</v>
      </c>
      <c r="C40" s="2" t="s">
        <v>17</v>
      </c>
      <c r="D40" s="2" t="s">
        <v>18</v>
      </c>
      <c r="E40" s="2" t="s">
        <v>19</v>
      </c>
    </row>
    <row r="41" spans="2:5" x14ac:dyDescent="0.3">
      <c r="B41" s="2">
        <v>0.9</v>
      </c>
      <c r="C41" s="2">
        <v>13.7</v>
      </c>
      <c r="D41" s="2">
        <v>30.05</v>
      </c>
      <c r="E41" s="2">
        <v>21.73</v>
      </c>
    </row>
    <row r="42" spans="2:5" x14ac:dyDescent="0.3">
      <c r="B42" s="2">
        <v>0.95</v>
      </c>
      <c r="C42" s="2">
        <v>13.27</v>
      </c>
      <c r="D42" s="2">
        <v>29.75</v>
      </c>
      <c r="E42" s="2">
        <v>21.95</v>
      </c>
    </row>
    <row r="43" spans="2:5" x14ac:dyDescent="0.3">
      <c r="B43" s="2">
        <v>1</v>
      </c>
      <c r="C43" s="2">
        <v>12.87</v>
      </c>
      <c r="D43" s="2">
        <v>29.46</v>
      </c>
      <c r="E43" s="2">
        <v>22.15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EED5E63DC7A3439F4866DCB451F65A" ma:contentTypeVersion="18" ma:contentTypeDescription="Create a new document." ma:contentTypeScope="" ma:versionID="741d36cc60d9308ce840d08eab6ba330">
  <xsd:schema xmlns:xsd="http://www.w3.org/2001/XMLSchema" xmlns:xs="http://www.w3.org/2001/XMLSchema" xmlns:p="http://schemas.microsoft.com/office/2006/metadata/properties" xmlns:ns3="aa693f82-26c4-4caa-ae58-a50e57eccb02" xmlns:ns4="9c06798b-ff22-4c9b-b5d9-547055cebf70" targetNamespace="http://schemas.microsoft.com/office/2006/metadata/properties" ma:root="true" ma:fieldsID="9748a3c40890606221e31f0731e56460" ns3:_="" ns4:_="">
    <xsd:import namespace="aa693f82-26c4-4caa-ae58-a50e57eccb02"/>
    <xsd:import namespace="9c06798b-ff22-4c9b-b5d9-547055ceb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93f82-26c4-4caa-ae58-a50e57ecc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6798b-ff22-4c9b-b5d9-547055ceb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693f82-26c4-4caa-ae58-a50e57eccb02" xsi:nil="true"/>
  </documentManagement>
</p:properties>
</file>

<file path=customXml/itemProps1.xml><?xml version="1.0" encoding="utf-8"?>
<ds:datastoreItem xmlns:ds="http://schemas.openxmlformats.org/officeDocument/2006/customXml" ds:itemID="{3FCD5479-5B58-4F47-99EF-EA8AFE50C0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693f82-26c4-4caa-ae58-a50e57eccb02"/>
    <ds:schemaRef ds:uri="9c06798b-ff22-4c9b-b5d9-547055ceb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AED9A1-71CC-4EA9-BCA2-B96AE9DA6A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C33E85-AA90-4111-8CC3-33241ADAC86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9c06798b-ff22-4c9b-b5d9-547055cebf70"/>
    <ds:schemaRef ds:uri="http://schemas.microsoft.com/office/2006/metadata/properties"/>
    <ds:schemaRef ds:uri="http://purl.org/dc/terms/"/>
    <ds:schemaRef ds:uri="aa693f82-26c4-4caa-ae58-a50e57eccb02"/>
    <ds:schemaRef ds:uri="http://purl.org/dc/dcmitype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Azzaro</dc:creator>
  <cp:lastModifiedBy>José Azzaro</cp:lastModifiedBy>
  <dcterms:created xsi:type="dcterms:W3CDTF">2026-03-03T15:31:10Z</dcterms:created>
  <dcterms:modified xsi:type="dcterms:W3CDTF">2026-03-05T09:55:22Z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0x010100FBEED5E63DC7A3439F4866DCB451F65A</vt:lpwstr>
  </property>
</Properties>
</file>